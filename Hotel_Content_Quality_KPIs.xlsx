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y Market" sheetId="2" state="visible" r:id="rId4"/>
    <sheet name="By Segment" sheetId="3" state="visible" r:id="rId5"/>
    <sheet name="Market x Segment" sheetId="4" state="visible" r:id="rId6"/>
    <sheet name="Field Completeness" sheetId="5" state="visible" r:id="rId7"/>
    <sheet name="Weakest Locations" sheetId="6" state="visible" r:id="rId8"/>
    <sheet name="Anomalies &amp; Freshness" sheetId="7" state="visible" r:id="rId9"/>
    <sheet name="Inconsistenci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<sst xmlns="http://schemas.openxmlformats.org/spreadsheetml/2006/main" count="236" uniqueCount="114">
  <si>
    <t xml:space="preserve">Hotel Content Quality &amp; Location Analysis</t>
  </si>
  <si>
    <t xml:space="preserve">Sheet guide</t>
  </si>
  <si>
    <t xml:space="preserve">KPI Summary — catalog snapshot, 2026-08-15</t>
  </si>
  <si>
    <t xml:space="preserve">By Market / By Segment — completeness input tables</t>
  </si>
  <si>
    <t xml:space="preserve">Market x Segment — full drill-down matrix</t>
  </si>
  <si>
    <t xml:space="preserve">Catalog Overview</t>
  </si>
  <si>
    <t xml:space="preserve">Field Completeness — which attributes are weakest</t>
  </si>
  <si>
    <t xml:space="preserve">Total properties audited</t>
  </si>
  <si>
    <t xml:space="preserve">Weakest Locations — worst cities + regional outliers</t>
  </si>
  <si>
    <t xml:space="preserve">Overall content completeness</t>
  </si>
  <si>
    <t xml:space="preserve">Anomalies &amp; Freshness — data integrity + staleness</t>
  </si>
  <si>
    <t xml:space="preserve">Weakest market</t>
  </si>
  <si>
    <t xml:space="preserve">Inconsistencies — non-canonical country/segment labels</t>
  </si>
  <si>
    <t xml:space="preserve">Weakest market completeness</t>
  </si>
  <si>
    <t xml:space="preserve">Strongest market</t>
  </si>
  <si>
    <t xml:space="preserve">Strongest market completeness</t>
  </si>
  <si>
    <t xml:space="preserve">Data Quality Flags</t>
  </si>
  <si>
    <t xml:space="preserve">Duplicate listings flagged (fuzzy match)</t>
  </si>
  <si>
    <t xml:space="preserve">% of catalog</t>
  </si>
  <si>
    <t xml:space="preserve">Duplicate match recall (validated)</t>
  </si>
  <si>
    <t xml:space="preserve">Records with ≥ 1 anomaly</t>
  </si>
  <si>
    <t xml:space="preserve">Country name variants found</t>
  </si>
  <si>
    <t xml:space="preserve">Market</t>
  </si>
  <si>
    <t xml:space="preserve">Properties Audited</t>
  </si>
  <si>
    <t xml:space="preserve">Completeness %</t>
  </si>
  <si>
    <t xml:space="preserve">Blue = input data sourced from the SQL/pandas analysis pipeline.</t>
  </si>
  <si>
    <t xml:space="preserve">Africa</t>
  </si>
  <si>
    <t xml:space="preserve">Latin America</t>
  </si>
  <si>
    <t xml:space="preserve">APAC</t>
  </si>
  <si>
    <t xml:space="preserve">Eastern Europe</t>
  </si>
  <si>
    <t xml:space="preserve">Middle East</t>
  </si>
  <si>
    <t xml:space="preserve">Western Europe</t>
  </si>
  <si>
    <t xml:space="preserve">North America</t>
  </si>
  <si>
    <t xml:space="preserve">Segment</t>
  </si>
  <si>
    <t xml:space="preserve">Budget</t>
  </si>
  <si>
    <t xml:space="preserve">Midscale</t>
  </si>
  <si>
    <t xml:space="preserve">Boutique</t>
  </si>
  <si>
    <t xml:space="preserve">Upscale</t>
  </si>
  <si>
    <t xml:space="preserve">Luxury</t>
  </si>
  <si>
    <t xml:space="preserve">Content Field</t>
  </si>
  <si>
    <t xml:space="preserve">Description</t>
  </si>
  <si>
    <t xml:space="preserve">Amenities</t>
  </si>
  <si>
    <t xml:space="preserve">Image</t>
  </si>
  <si>
    <t xml:space="preserve">Phone</t>
  </si>
  <si>
    <t xml:space="preserve">Email</t>
  </si>
  <si>
    <t xml:space="preserve">Website</t>
  </si>
  <si>
    <t xml:space="preserve">Rooms</t>
  </si>
  <si>
    <t xml:space="preserve">Checkin Time</t>
  </si>
  <si>
    <t xml:space="preserve">City</t>
  </si>
  <si>
    <t xml:space="preserve">Country</t>
  </si>
  <si>
    <t xml:space="preserve">Minimum 40 listings per city, to avoid small-sample noise.</t>
  </si>
  <si>
    <t xml:space="preserve">Marrakesh</t>
  </si>
  <si>
    <t xml:space="preserve">Morocco</t>
  </si>
  <si>
    <t xml:space="preserve">Sharm El Sheikh</t>
  </si>
  <si>
    <t xml:space="preserve">Egypt</t>
  </si>
  <si>
    <t xml:space="preserve">Cairo</t>
  </si>
  <si>
    <t xml:space="preserve">Lagos</t>
  </si>
  <si>
    <t xml:space="preserve">Nigeria</t>
  </si>
  <si>
    <t xml:space="preserve">Cape Town</t>
  </si>
  <si>
    <t xml:space="preserve">South Africa</t>
  </si>
  <si>
    <t xml:space="preserve">Johannesburg</t>
  </si>
  <si>
    <t xml:space="preserve">Casablanca</t>
  </si>
  <si>
    <t xml:space="preserve">Nairobi</t>
  </si>
  <si>
    <t xml:space="preserve">Kenya</t>
  </si>
  <si>
    <t xml:space="preserve">Abuja</t>
  </si>
  <si>
    <t xml:space="preserve">Rio de Janeiro</t>
  </si>
  <si>
    <t xml:space="preserve">Brazil</t>
  </si>
  <si>
    <t xml:space="preserve">Regional outliers (z-score ≤ -1.0 vs. own market's mean)</t>
  </si>
  <si>
    <t xml:space="preserve">Market Mean %</t>
  </si>
  <si>
    <t xml:space="preserve">z-score</t>
  </si>
  <si>
    <t xml:space="preserve">Milan</t>
  </si>
  <si>
    <t xml:space="preserve">Shanghai</t>
  </si>
  <si>
    <t xml:space="preserve">New York</t>
  </si>
  <si>
    <t xml:space="preserve">Amsterdam</t>
  </si>
  <si>
    <t xml:space="preserve">Abu Dhabi</t>
  </si>
  <si>
    <t xml:space="preserve">Los Angeles</t>
  </si>
  <si>
    <t xml:space="preserve">Anomaly Type</t>
  </si>
  <si>
    <t xml:space="preserve">Record Count</t>
  </si>
  <si>
    <t xml:space="preserve">Future-dated last_updated</t>
  </si>
  <si>
    <t xml:space="preserve">Invalid / null-island coordinates</t>
  </si>
  <si>
    <t xml:space="preserve">Zero / negative nightly rate</t>
  </si>
  <si>
    <t xml:space="preserve">Negative or zero room count</t>
  </si>
  <si>
    <t xml:space="preserve">Placeholder / test description text</t>
  </si>
  <si>
    <t xml:space="preserve">Invalid category / star value</t>
  </si>
  <si>
    <t xml:space="preserve">Content Freshness (last content update)</t>
  </si>
  <si>
    <t xml:space="preserve">Freshness Bucket</t>
  </si>
  <si>
    <t xml:space="preserve">Properties</t>
  </si>
  <si>
    <t xml:space="preserve">% of Catalog</t>
  </si>
  <si>
    <t xml:space="preserve">2+ years (stale)</t>
  </si>
  <si>
    <t xml:space="preserve">1-2 years</t>
  </si>
  <si>
    <t xml:space="preserve">6-12 months</t>
  </si>
  <si>
    <t xml:space="preserve">0-6 months</t>
  </si>
  <si>
    <t xml:space="preserve">Future-dated (anomaly)</t>
  </si>
  <si>
    <t xml:space="preserve">Country — Stored Value</t>
  </si>
  <si>
    <t xml:space="preserve">USA</t>
  </si>
  <si>
    <t xml:space="preserve">United States of America</t>
  </si>
  <si>
    <t xml:space="preserve">US</t>
  </si>
  <si>
    <t xml:space="preserve">UAE</t>
  </si>
  <si>
    <t xml:space="preserve">Britain</t>
  </si>
  <si>
    <t xml:space="preserve">UK</t>
  </si>
  <si>
    <t xml:space="preserve">Segment — Stored Value</t>
  </si>
  <si>
    <t xml:space="preserve">Canonical Segment</t>
  </si>
  <si>
    <t xml:space="preserve">BOUTIQUE</t>
  </si>
  <si>
    <t xml:space="preserve">Boutique Hotel</t>
  </si>
  <si>
    <t xml:space="preserve">Economy</t>
  </si>
  <si>
    <t xml:space="preserve">2-Star</t>
  </si>
  <si>
    <t xml:space="preserve">budget</t>
  </si>
  <si>
    <t xml:space="preserve">Five Star</t>
  </si>
  <si>
    <t xml:space="preserve">LUXURY</t>
  </si>
  <si>
    <t xml:space="preserve">5-Star</t>
  </si>
  <si>
    <t xml:space="preserve">3-Star</t>
  </si>
  <si>
    <t xml:space="preserve">Mid-scale</t>
  </si>
  <si>
    <t xml:space="preserve">Four Star</t>
  </si>
  <si>
    <t xml:space="preserve">4-Star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</si>
</sst>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B3A"/>
      <name val="Arial"/>
      <family val="0"/>
      <charset val="1"/>
    </font>
    <font>
      <b val="true"/>
      <sz val="10.5"/>
      <color rgb="FF1C2B3A"/>
      <name val="Arial"/>
      <family val="0"/>
      <charset val="1"/>
    </font>
    <font>
      <i val="true"/>
      <sz val="10.5"/>
      <color rgb="FF5B6B7A"/>
      <name val="Arial"/>
      <family val="0"/>
      <charset val="1"/>
    </font>
    <font>
      <sz val="10"/>
      <color rgb="FF5B6B7A"/>
      <name val="Arial"/>
      <family val="0"/>
      <charset val="1"/>
    </font>
    <font>
      <sz val="10.5"/>
      <color rgb="FF1C2B3A"/>
      <name val="Arial"/>
      <family val="0"/>
      <charset val="1"/>
    </font>
    <font>
      <sz val="10.5"/>
      <color rgb="FF000000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10.5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2B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32"/>
    <col collapsed="false" customWidth="true" hidden="false" outlineLevel="0" max="6" min="6" style="0" width="20"/>
  </cols>
  <sheetData>
    <row r="2" customFormat="false" ht="19.7" hidden="false" customHeight="false" outlineLevel="0" collapsed="false">
      <c r="B2" s="1" t="s">
        <v>0</v>
      </c>
      <c r="E2" s="2" t="s">
        <v>1</v>
      </c>
    </row>
    <row r="3" customFormat="false" ht="15" hidden="false" customHeight="false" outlineLevel="0" collapsed="false">
      <c r="B3" s="3" t="s">
        <v>2</v>
      </c>
      <c r="E3" s="4" t="s">
        <v>3</v>
      </c>
    </row>
    <row r="4" customFormat="false" ht="15" hidden="false" customHeight="false" outlineLevel="0" collapsed="false">
      <c r="E4" s="4" t="s">
        <v>4</v>
      </c>
    </row>
    <row r="5" customFormat="false" ht="15" hidden="false" customHeight="false" outlineLevel="0" collapsed="false">
      <c r="B5" s="2" t="s">
        <v>5</v>
      </c>
      <c r="E5" s="4" t="s">
        <v>6</v>
      </c>
    </row>
    <row r="6" customFormat="false" ht="15" hidden="false" customHeight="false" outlineLevel="0" collapsed="false">
      <c r="B6" s="5" t="s">
        <v>7</v>
      </c>
      <c r="C6" s="6" t="n">
        <f aca="false">SUM('By Market'!B2:B8)</f>
        <v>53334</v>
      </c>
      <c r="E6" s="4" t="s">
        <v>8</v>
      </c>
    </row>
    <row r="7" customFormat="false" ht="15" hidden="false" customHeight="false" outlineLevel="0" collapsed="false">
      <c r="B7" s="5" t="s">
        <v>9</v>
      </c>
      <c r="C7" s="7" t="n">
        <f aca="false">SUMPRODUCT('By Market'!B2:B8,'By Market'!C2:C8)/SUM('By Market'!B2:B8)</f>
        <v>0.846532212097349</v>
      </c>
      <c r="E7" s="4" t="s">
        <v>10</v>
      </c>
    </row>
    <row r="8" customFormat="false" ht="15" hidden="false" customHeight="false" outlineLevel="0" collapsed="false">
      <c r="B8" s="5" t="s">
        <v>11</v>
      </c>
      <c r="C8" s="8" t="str">
        <f aca="false">INDEX('By Market'!A2:A8,MATCH(MIN('By Market'!C2:C8),'By Market'!C2:C8,0))</f>
        <v>Africa</v>
      </c>
      <c r="E8" s="4" t="s">
        <v>12</v>
      </c>
    </row>
    <row r="9" customFormat="false" ht="15" hidden="false" customHeight="false" outlineLevel="0" collapsed="false">
      <c r="B9" s="5" t="s">
        <v>13</v>
      </c>
      <c r="C9" s="7" t="n">
        <f aca="false">MIN('By Market'!C2:C8)</f>
        <v>0.649</v>
      </c>
    </row>
    <row r="10" customFormat="false" ht="15" hidden="false" customHeight="false" outlineLevel="0" collapsed="false">
      <c r="B10" s="5" t="s">
        <v>14</v>
      </c>
      <c r="C10" s="8" t="str">
        <f aca="false">INDEX('By Market'!A2:A8,MATCH(MAX('By Market'!C2:C8),'By Market'!C2:C8,0))</f>
        <v>North America</v>
      </c>
    </row>
    <row r="11" customFormat="false" ht="15" hidden="false" customHeight="false" outlineLevel="0" collapsed="false">
      <c r="B11" s="5" t="s">
        <v>15</v>
      </c>
      <c r="C11" s="7" t="n">
        <f aca="false">MAX('By Market'!C2:C8)</f>
        <v>0.926</v>
      </c>
    </row>
    <row r="13" customFormat="false" ht="15" hidden="false" customHeight="false" outlineLevel="0" collapsed="false">
      <c r="B13" s="2" t="s">
        <v>16</v>
      </c>
    </row>
    <row r="14" customFormat="false" ht="15" hidden="false" customHeight="false" outlineLevel="0" collapsed="false">
      <c r="B14" s="5" t="s">
        <v>17</v>
      </c>
      <c r="C14" s="9" t="n">
        <v>3147</v>
      </c>
    </row>
    <row r="15" customFormat="false" ht="15" hidden="false" customHeight="false" outlineLevel="0" collapsed="false">
      <c r="B15" s="5" t="s">
        <v>18</v>
      </c>
      <c r="C15" s="7" t="n">
        <f aca="false">C14/C6</f>
        <v>0.0590055124310946</v>
      </c>
    </row>
    <row r="16" customFormat="false" ht="15" hidden="false" customHeight="false" outlineLevel="0" collapsed="false">
      <c r="B16" s="5" t="s">
        <v>19</v>
      </c>
      <c r="C16" s="10" t="n">
        <v>0.882</v>
      </c>
    </row>
    <row r="17" customFormat="false" ht="15" hidden="false" customHeight="false" outlineLevel="0" collapsed="false">
      <c r="B17" s="5" t="s">
        <v>20</v>
      </c>
      <c r="C17" s="9" t="n">
        <v>5886</v>
      </c>
    </row>
    <row r="18" customFormat="false" ht="15" hidden="false" customHeight="false" outlineLevel="0" collapsed="false">
      <c r="B18" s="5" t="s">
        <v>18</v>
      </c>
      <c r="C18" s="7" t="n">
        <f aca="false">C17/C6</f>
        <v>0.110361120485994</v>
      </c>
    </row>
    <row r="19" customFormat="false" ht="15" hidden="false" customHeight="false" outlineLevel="0" collapsed="false">
      <c r="B19" s="5" t="s">
        <v>21</v>
      </c>
      <c r="C19" s="6" t="n">
        <f aca="false">SUM(Inconsistencies!B2:B7)</f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1" t="s">
        <v>22</v>
      </c>
      <c r="B1" s="11" t="s">
        <v>23</v>
      </c>
      <c r="C1" s="11" t="s">
        <v>24</v>
      </c>
      <c r="E1" s="3" t="s">
        <v>25</v>
      </c>
    </row>
    <row r="2" customFormat="false" ht="15" hidden="false" customHeight="false" outlineLevel="0" collapsed="false">
      <c r="A2" s="0" t="s">
        <v>26</v>
      </c>
      <c r="B2" s="9" t="n">
        <v>3703</v>
      </c>
      <c r="C2" s="10" t="n">
        <v>0.649</v>
      </c>
    </row>
    <row r="3" customFormat="false" ht="15" hidden="false" customHeight="false" outlineLevel="0" collapsed="false">
      <c r="A3" s="0" t="s">
        <v>27</v>
      </c>
      <c r="B3" s="9" t="n">
        <v>4763</v>
      </c>
      <c r="C3" s="10" t="n">
        <v>0.754</v>
      </c>
    </row>
    <row r="4" customFormat="false" ht="15" hidden="false" customHeight="false" outlineLevel="0" collapsed="false">
      <c r="A4" s="0" t="s">
        <v>28</v>
      </c>
      <c r="B4" s="9" t="n">
        <v>10718</v>
      </c>
      <c r="C4" s="10" t="n">
        <v>0.79</v>
      </c>
    </row>
    <row r="5" customFormat="false" ht="15" hidden="false" customHeight="false" outlineLevel="0" collapsed="false">
      <c r="A5" s="0" t="s">
        <v>29</v>
      </c>
      <c r="B5" s="9" t="n">
        <v>4382</v>
      </c>
      <c r="C5" s="10" t="n">
        <v>0.804</v>
      </c>
    </row>
    <row r="6" customFormat="false" ht="15" hidden="false" customHeight="false" outlineLevel="0" collapsed="false">
      <c r="A6" s="0" t="s">
        <v>30</v>
      </c>
      <c r="B6" s="9" t="n">
        <v>4348</v>
      </c>
      <c r="C6" s="10" t="n">
        <v>0.886</v>
      </c>
    </row>
    <row r="7" customFormat="false" ht="15" hidden="false" customHeight="false" outlineLevel="0" collapsed="false">
      <c r="A7" s="0" t="s">
        <v>31</v>
      </c>
      <c r="B7" s="9" t="n">
        <v>12622</v>
      </c>
      <c r="C7" s="10" t="n">
        <v>0.908</v>
      </c>
    </row>
    <row r="8" customFormat="false" ht="15" hidden="false" customHeight="false" outlineLevel="0" collapsed="false">
      <c r="A8" s="0" t="s">
        <v>32</v>
      </c>
      <c r="B8" s="9" t="n">
        <v>12798</v>
      </c>
      <c r="C8" s="10" t="n">
        <v>0.926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1" t="s">
        <v>33</v>
      </c>
      <c r="B1" s="11" t="s">
        <v>23</v>
      </c>
      <c r="C1" s="11" t="s">
        <v>24</v>
      </c>
    </row>
    <row r="2" customFormat="false" ht="15" hidden="false" customHeight="false" outlineLevel="0" collapsed="false">
      <c r="A2" s="0" t="s">
        <v>34</v>
      </c>
      <c r="B2" s="9" t="n">
        <v>11819</v>
      </c>
      <c r="C2" s="10" t="n">
        <v>0.772</v>
      </c>
    </row>
    <row r="3" customFormat="false" ht="15" hidden="false" customHeight="false" outlineLevel="0" collapsed="false">
      <c r="A3" s="0" t="s">
        <v>35</v>
      </c>
      <c r="B3" s="9" t="n">
        <v>17604</v>
      </c>
      <c r="C3" s="10" t="n">
        <v>0.83</v>
      </c>
    </row>
    <row r="4" customFormat="false" ht="15" hidden="false" customHeight="false" outlineLevel="0" collapsed="false">
      <c r="A4" s="0" t="s">
        <v>36</v>
      </c>
      <c r="B4" s="9" t="n">
        <v>5357</v>
      </c>
      <c r="C4" s="10" t="n">
        <v>0.868</v>
      </c>
    </row>
    <row r="5" customFormat="false" ht="15" hidden="false" customHeight="false" outlineLevel="0" collapsed="false">
      <c r="A5" s="0" t="s">
        <v>37</v>
      </c>
      <c r="B5" s="9" t="n">
        <v>12808</v>
      </c>
      <c r="C5" s="10" t="n">
        <v>0.896</v>
      </c>
    </row>
    <row r="6" customFormat="false" ht="15" hidden="false" customHeight="false" outlineLevel="0" collapsed="false">
      <c r="A6" s="0" t="s">
        <v>38</v>
      </c>
      <c r="B6" s="9" t="n">
        <v>5746</v>
      </c>
      <c r="C6" s="10" t="n">
        <v>0.92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1" t="s">
        <v>22</v>
      </c>
      <c r="B1" s="11" t="s">
        <v>33</v>
      </c>
      <c r="C1" s="11" t="s">
        <v>23</v>
      </c>
      <c r="D1" s="11" t="s">
        <v>24</v>
      </c>
    </row>
    <row r="2" customFormat="false" ht="15" hidden="false" customHeight="false" outlineLevel="0" collapsed="false">
      <c r="A2" s="0" t="s">
        <v>28</v>
      </c>
      <c r="B2" s="0" t="s">
        <v>34</v>
      </c>
      <c r="C2" s="9" t="n">
        <v>2350</v>
      </c>
      <c r="D2" s="10" t="n">
        <v>0.716</v>
      </c>
    </row>
    <row r="3" customFormat="false" ht="15" hidden="false" customHeight="false" outlineLevel="0" collapsed="false">
      <c r="A3" s="0" t="s">
        <v>28</v>
      </c>
      <c r="B3" s="0" t="s">
        <v>35</v>
      </c>
      <c r="C3" s="9" t="n">
        <v>3509</v>
      </c>
      <c r="D3" s="10" t="n">
        <v>0.771</v>
      </c>
    </row>
    <row r="4" customFormat="false" ht="15" hidden="false" customHeight="false" outlineLevel="0" collapsed="false">
      <c r="A4" s="0" t="s">
        <v>28</v>
      </c>
      <c r="B4" s="0" t="s">
        <v>36</v>
      </c>
      <c r="C4" s="9" t="n">
        <v>1112</v>
      </c>
      <c r="D4" s="10" t="n">
        <v>0.813</v>
      </c>
    </row>
    <row r="5" customFormat="false" ht="15" hidden="false" customHeight="false" outlineLevel="0" collapsed="false">
      <c r="A5" s="0" t="s">
        <v>28</v>
      </c>
      <c r="B5" s="0" t="s">
        <v>37</v>
      </c>
      <c r="C5" s="9" t="n">
        <v>2626</v>
      </c>
      <c r="D5" s="10" t="n">
        <v>0.838</v>
      </c>
    </row>
    <row r="6" customFormat="false" ht="15" hidden="false" customHeight="false" outlineLevel="0" collapsed="false">
      <c r="A6" s="0" t="s">
        <v>28</v>
      </c>
      <c r="B6" s="0" t="s">
        <v>38</v>
      </c>
      <c r="C6" s="9" t="n">
        <v>1121</v>
      </c>
      <c r="D6" s="10" t="n">
        <v>0.867</v>
      </c>
    </row>
    <row r="7" customFormat="false" ht="15" hidden="false" customHeight="false" outlineLevel="0" collapsed="false">
      <c r="A7" s="0" t="s">
        <v>26</v>
      </c>
      <c r="B7" s="0" t="s">
        <v>34</v>
      </c>
      <c r="C7" s="9" t="n">
        <v>808</v>
      </c>
      <c r="D7" s="10" t="n">
        <v>0.573</v>
      </c>
    </row>
    <row r="8" customFormat="false" ht="15" hidden="false" customHeight="false" outlineLevel="0" collapsed="false">
      <c r="A8" s="0" t="s">
        <v>26</v>
      </c>
      <c r="B8" s="0" t="s">
        <v>35</v>
      </c>
      <c r="C8" s="9" t="n">
        <v>1227</v>
      </c>
      <c r="D8" s="10" t="n">
        <v>0.633</v>
      </c>
    </row>
    <row r="9" customFormat="false" ht="15" hidden="false" customHeight="false" outlineLevel="0" collapsed="false">
      <c r="A9" s="0" t="s">
        <v>26</v>
      </c>
      <c r="B9" s="0" t="s">
        <v>36</v>
      </c>
      <c r="C9" s="9" t="n">
        <v>400</v>
      </c>
      <c r="D9" s="10" t="n">
        <v>0.666</v>
      </c>
    </row>
    <row r="10" customFormat="false" ht="15" hidden="false" customHeight="false" outlineLevel="0" collapsed="false">
      <c r="A10" s="0" t="s">
        <v>26</v>
      </c>
      <c r="B10" s="0" t="s">
        <v>37</v>
      </c>
      <c r="C10" s="9" t="n">
        <v>859</v>
      </c>
      <c r="D10" s="10" t="n">
        <v>0.697</v>
      </c>
    </row>
    <row r="11" customFormat="false" ht="15" hidden="false" customHeight="false" outlineLevel="0" collapsed="false">
      <c r="A11" s="0" t="s">
        <v>26</v>
      </c>
      <c r="B11" s="0" t="s">
        <v>38</v>
      </c>
      <c r="C11" s="9" t="n">
        <v>409</v>
      </c>
      <c r="D11" s="10" t="n">
        <v>0.727</v>
      </c>
    </row>
    <row r="12" customFormat="false" ht="15" hidden="false" customHeight="false" outlineLevel="0" collapsed="false">
      <c r="A12" s="0" t="s">
        <v>29</v>
      </c>
      <c r="B12" s="0" t="s">
        <v>34</v>
      </c>
      <c r="C12" s="9" t="n">
        <v>964</v>
      </c>
      <c r="D12" s="10" t="n">
        <v>0.732</v>
      </c>
    </row>
    <row r="13" customFormat="false" ht="15" hidden="false" customHeight="false" outlineLevel="0" collapsed="false">
      <c r="A13" s="0" t="s">
        <v>29</v>
      </c>
      <c r="B13" s="0" t="s">
        <v>35</v>
      </c>
      <c r="C13" s="9" t="n">
        <v>1459</v>
      </c>
      <c r="D13" s="10" t="n">
        <v>0.788</v>
      </c>
    </row>
    <row r="14" customFormat="false" ht="15" hidden="false" customHeight="false" outlineLevel="0" collapsed="false">
      <c r="A14" s="0" t="s">
        <v>29</v>
      </c>
      <c r="B14" s="0" t="s">
        <v>36</v>
      </c>
      <c r="C14" s="9" t="n">
        <v>432</v>
      </c>
      <c r="D14" s="10" t="n">
        <v>0.831</v>
      </c>
    </row>
    <row r="15" customFormat="false" ht="15" hidden="false" customHeight="false" outlineLevel="0" collapsed="false">
      <c r="A15" s="0" t="s">
        <v>29</v>
      </c>
      <c r="B15" s="0" t="s">
        <v>37</v>
      </c>
      <c r="C15" s="9" t="n">
        <v>1047</v>
      </c>
      <c r="D15" s="10" t="n">
        <v>0.853</v>
      </c>
    </row>
    <row r="16" customFormat="false" ht="15" hidden="false" customHeight="false" outlineLevel="0" collapsed="false">
      <c r="A16" s="0" t="s">
        <v>29</v>
      </c>
      <c r="B16" s="0" t="s">
        <v>38</v>
      </c>
      <c r="C16" s="9" t="n">
        <v>480</v>
      </c>
      <c r="D16" s="10" t="n">
        <v>0.872</v>
      </c>
    </row>
    <row r="17" customFormat="false" ht="15" hidden="false" customHeight="false" outlineLevel="0" collapsed="false">
      <c r="A17" s="0" t="s">
        <v>27</v>
      </c>
      <c r="B17" s="0" t="s">
        <v>34</v>
      </c>
      <c r="C17" s="9" t="n">
        <v>994</v>
      </c>
      <c r="D17" s="10" t="n">
        <v>0.672</v>
      </c>
    </row>
    <row r="18" customFormat="false" ht="15" hidden="false" customHeight="false" outlineLevel="0" collapsed="false">
      <c r="A18" s="0" t="s">
        <v>27</v>
      </c>
      <c r="B18" s="0" t="s">
        <v>35</v>
      </c>
      <c r="C18" s="9" t="n">
        <v>1588</v>
      </c>
      <c r="D18" s="10" t="n">
        <v>0.739</v>
      </c>
    </row>
    <row r="19" customFormat="false" ht="15" hidden="false" customHeight="false" outlineLevel="0" collapsed="false">
      <c r="A19" s="0" t="s">
        <v>27</v>
      </c>
      <c r="B19" s="0" t="s">
        <v>36</v>
      </c>
      <c r="C19" s="9" t="n">
        <v>475</v>
      </c>
      <c r="D19" s="10" t="n">
        <v>0.774</v>
      </c>
    </row>
    <row r="20" customFormat="false" ht="15" hidden="false" customHeight="false" outlineLevel="0" collapsed="false">
      <c r="A20" s="0" t="s">
        <v>27</v>
      </c>
      <c r="B20" s="0" t="s">
        <v>37</v>
      </c>
      <c r="C20" s="9" t="n">
        <v>1146</v>
      </c>
      <c r="D20" s="10" t="n">
        <v>0.804</v>
      </c>
    </row>
    <row r="21" customFormat="false" ht="15" hidden="false" customHeight="false" outlineLevel="0" collapsed="false">
      <c r="A21" s="0" t="s">
        <v>27</v>
      </c>
      <c r="B21" s="0" t="s">
        <v>38</v>
      </c>
      <c r="C21" s="9" t="n">
        <v>560</v>
      </c>
      <c r="D21" s="10" t="n">
        <v>0.824</v>
      </c>
    </row>
    <row r="22" customFormat="false" ht="15" hidden="false" customHeight="false" outlineLevel="0" collapsed="false">
      <c r="A22" s="0" t="s">
        <v>30</v>
      </c>
      <c r="B22" s="0" t="s">
        <v>34</v>
      </c>
      <c r="C22" s="9" t="n">
        <v>1021</v>
      </c>
      <c r="D22" s="10" t="n">
        <v>0.808</v>
      </c>
    </row>
    <row r="23" customFormat="false" ht="15" hidden="false" customHeight="false" outlineLevel="0" collapsed="false">
      <c r="A23" s="0" t="s">
        <v>30</v>
      </c>
      <c r="B23" s="0" t="s">
        <v>35</v>
      </c>
      <c r="C23" s="9" t="n">
        <v>1445</v>
      </c>
      <c r="D23" s="10" t="n">
        <v>0.871</v>
      </c>
    </row>
    <row r="24" customFormat="false" ht="15" hidden="false" customHeight="false" outlineLevel="0" collapsed="false">
      <c r="A24" s="0" t="s">
        <v>30</v>
      </c>
      <c r="B24" s="0" t="s">
        <v>36</v>
      </c>
      <c r="C24" s="9" t="n">
        <v>409</v>
      </c>
      <c r="D24" s="10" t="n">
        <v>0.911</v>
      </c>
    </row>
    <row r="25" customFormat="false" ht="15" hidden="false" customHeight="false" outlineLevel="0" collapsed="false">
      <c r="A25" s="0" t="s">
        <v>30</v>
      </c>
      <c r="B25" s="0" t="s">
        <v>37</v>
      </c>
      <c r="C25" s="9" t="n">
        <v>1039</v>
      </c>
      <c r="D25" s="10" t="n">
        <v>0.938</v>
      </c>
    </row>
    <row r="26" customFormat="false" ht="15" hidden="false" customHeight="false" outlineLevel="0" collapsed="false">
      <c r="A26" s="0" t="s">
        <v>30</v>
      </c>
      <c r="B26" s="0" t="s">
        <v>38</v>
      </c>
      <c r="C26" s="9" t="n">
        <v>434</v>
      </c>
      <c r="D26" s="10" t="n">
        <v>0.968</v>
      </c>
    </row>
    <row r="27" customFormat="false" ht="15" hidden="false" customHeight="false" outlineLevel="0" collapsed="false">
      <c r="A27" s="0" t="s">
        <v>32</v>
      </c>
      <c r="B27" s="0" t="s">
        <v>34</v>
      </c>
      <c r="C27" s="9" t="n">
        <v>2815</v>
      </c>
      <c r="D27" s="10" t="n">
        <v>0.851</v>
      </c>
    </row>
    <row r="28" customFormat="false" ht="15" hidden="false" customHeight="false" outlineLevel="0" collapsed="false">
      <c r="A28" s="0" t="s">
        <v>32</v>
      </c>
      <c r="B28" s="0" t="s">
        <v>35</v>
      </c>
      <c r="C28" s="9" t="n">
        <v>4198</v>
      </c>
      <c r="D28" s="10" t="n">
        <v>0.909</v>
      </c>
    </row>
    <row r="29" customFormat="false" ht="15" hidden="false" customHeight="false" outlineLevel="0" collapsed="false">
      <c r="A29" s="0" t="s">
        <v>32</v>
      </c>
      <c r="B29" s="0" t="s">
        <v>36</v>
      </c>
      <c r="C29" s="9" t="n">
        <v>1276</v>
      </c>
      <c r="D29" s="10" t="n">
        <v>0.949</v>
      </c>
    </row>
    <row r="30" customFormat="false" ht="15" hidden="false" customHeight="false" outlineLevel="0" collapsed="false">
      <c r="A30" s="0" t="s">
        <v>32</v>
      </c>
      <c r="B30" s="0" t="s">
        <v>37</v>
      </c>
      <c r="C30" s="9" t="n">
        <v>3112</v>
      </c>
      <c r="D30" s="10" t="n">
        <v>0.974</v>
      </c>
    </row>
    <row r="31" customFormat="false" ht="15" hidden="false" customHeight="false" outlineLevel="0" collapsed="false">
      <c r="A31" s="0" t="s">
        <v>32</v>
      </c>
      <c r="B31" s="0" t="s">
        <v>38</v>
      </c>
      <c r="C31" s="9" t="n">
        <v>1397</v>
      </c>
      <c r="D31" s="10" t="n">
        <v>0.995</v>
      </c>
    </row>
    <row r="32" customFormat="false" ht="15" hidden="false" customHeight="false" outlineLevel="0" collapsed="false">
      <c r="A32" s="0" t="s">
        <v>31</v>
      </c>
      <c r="B32" s="0" t="s">
        <v>34</v>
      </c>
      <c r="C32" s="9" t="n">
        <v>2867</v>
      </c>
      <c r="D32" s="10" t="n">
        <v>0.832</v>
      </c>
    </row>
    <row r="33" customFormat="false" ht="15" hidden="false" customHeight="false" outlineLevel="0" collapsed="false">
      <c r="A33" s="0" t="s">
        <v>31</v>
      </c>
      <c r="B33" s="0" t="s">
        <v>35</v>
      </c>
      <c r="C33" s="9" t="n">
        <v>4178</v>
      </c>
      <c r="D33" s="10" t="n">
        <v>0.892</v>
      </c>
    </row>
    <row r="34" customFormat="false" ht="15" hidden="false" customHeight="false" outlineLevel="0" collapsed="false">
      <c r="A34" s="0" t="s">
        <v>31</v>
      </c>
      <c r="B34" s="0" t="s">
        <v>36</v>
      </c>
      <c r="C34" s="9" t="n">
        <v>1253</v>
      </c>
      <c r="D34" s="10" t="n">
        <v>0.932</v>
      </c>
    </row>
    <row r="35" customFormat="false" ht="15" hidden="false" customHeight="false" outlineLevel="0" collapsed="false">
      <c r="A35" s="0" t="s">
        <v>31</v>
      </c>
      <c r="B35" s="0" t="s">
        <v>37</v>
      </c>
      <c r="C35" s="9" t="n">
        <v>2979</v>
      </c>
      <c r="D35" s="10" t="n">
        <v>0.958</v>
      </c>
    </row>
    <row r="36" customFormat="false" ht="15" hidden="false" customHeight="false" outlineLevel="0" collapsed="false">
      <c r="A36" s="0" t="s">
        <v>31</v>
      </c>
      <c r="B36" s="0" t="s">
        <v>38</v>
      </c>
      <c r="C36" s="9" t="n">
        <v>1345</v>
      </c>
      <c r="D36" s="10" t="n">
        <v>0.984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1" t="s">
        <v>39</v>
      </c>
      <c r="B1" s="11" t="s">
        <v>24</v>
      </c>
    </row>
    <row r="2" customFormat="false" ht="15" hidden="false" customHeight="false" outlineLevel="0" collapsed="false">
      <c r="A2" s="0" t="s">
        <v>40</v>
      </c>
      <c r="B2" s="10" t="n">
        <v>0.798</v>
      </c>
    </row>
    <row r="3" customFormat="false" ht="15" hidden="false" customHeight="false" outlineLevel="0" collapsed="false">
      <c r="A3" s="0" t="s">
        <v>41</v>
      </c>
      <c r="B3" s="10" t="n">
        <v>0.813</v>
      </c>
    </row>
    <row r="4" customFormat="false" ht="15" hidden="false" customHeight="false" outlineLevel="0" collapsed="false">
      <c r="A4" s="0" t="s">
        <v>42</v>
      </c>
      <c r="B4" s="10" t="n">
        <v>0.783</v>
      </c>
    </row>
    <row r="5" customFormat="false" ht="15" hidden="false" customHeight="false" outlineLevel="0" collapsed="false">
      <c r="A5" s="0" t="s">
        <v>43</v>
      </c>
      <c r="B5" s="10" t="n">
        <v>0.894</v>
      </c>
    </row>
    <row r="6" customFormat="false" ht="15" hidden="false" customHeight="false" outlineLevel="0" collapsed="false">
      <c r="A6" s="0" t="s">
        <v>44</v>
      </c>
      <c r="B6" s="10" t="n">
        <v>0.841</v>
      </c>
    </row>
    <row r="7" customFormat="false" ht="15" hidden="false" customHeight="false" outlineLevel="0" collapsed="false">
      <c r="A7" s="0" t="s">
        <v>45</v>
      </c>
      <c r="B7" s="10" t="n">
        <v>0.827</v>
      </c>
    </row>
    <row r="8" customFormat="false" ht="15" hidden="false" customHeight="false" outlineLevel="0" collapsed="false">
      <c r="A8" s="0" t="s">
        <v>46</v>
      </c>
      <c r="B8" s="10" t="n">
        <v>0.904</v>
      </c>
    </row>
    <row r="9" customFormat="false" ht="15" hidden="false" customHeight="false" outlineLevel="0" collapsed="false">
      <c r="A9" s="0" t="s">
        <v>47</v>
      </c>
      <c r="B9" s="10" t="n">
        <v>0.912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1" t="s">
        <v>48</v>
      </c>
      <c r="B1" s="11" t="s">
        <v>49</v>
      </c>
      <c r="C1" s="11" t="s">
        <v>22</v>
      </c>
      <c r="D1" s="11" t="s">
        <v>23</v>
      </c>
      <c r="E1" s="11" t="s">
        <v>24</v>
      </c>
      <c r="G1" s="3" t="s">
        <v>50</v>
      </c>
    </row>
    <row r="2" customFormat="false" ht="15" hidden="false" customHeight="false" outlineLevel="0" collapsed="false">
      <c r="A2" s="0" t="s">
        <v>51</v>
      </c>
      <c r="B2" s="0" t="s">
        <v>52</v>
      </c>
      <c r="C2" s="0" t="s">
        <v>26</v>
      </c>
      <c r="D2" s="9" t="n">
        <v>394</v>
      </c>
      <c r="E2" s="10" t="n">
        <v>0.632</v>
      </c>
    </row>
    <row r="3" customFormat="false" ht="15" hidden="false" customHeight="false" outlineLevel="0" collapsed="false">
      <c r="A3" s="0" t="s">
        <v>53</v>
      </c>
      <c r="B3" s="0" t="s">
        <v>54</v>
      </c>
      <c r="C3" s="0" t="s">
        <v>26</v>
      </c>
      <c r="D3" s="9" t="n">
        <v>401</v>
      </c>
      <c r="E3" s="10" t="n">
        <v>0.642</v>
      </c>
    </row>
    <row r="4" customFormat="false" ht="15" hidden="false" customHeight="false" outlineLevel="0" collapsed="false">
      <c r="A4" s="0" t="s">
        <v>55</v>
      </c>
      <c r="B4" s="0" t="s">
        <v>54</v>
      </c>
      <c r="C4" s="0" t="s">
        <v>26</v>
      </c>
      <c r="D4" s="9" t="n">
        <v>420</v>
      </c>
      <c r="E4" s="10" t="n">
        <v>0.643</v>
      </c>
    </row>
    <row r="5" customFormat="false" ht="15" hidden="false" customHeight="false" outlineLevel="0" collapsed="false">
      <c r="A5" s="0" t="s">
        <v>56</v>
      </c>
      <c r="B5" s="0" t="s">
        <v>57</v>
      </c>
      <c r="C5" s="0" t="s">
        <v>26</v>
      </c>
      <c r="D5" s="9" t="n">
        <v>413</v>
      </c>
      <c r="E5" s="10" t="n">
        <v>0.643</v>
      </c>
    </row>
    <row r="6" customFormat="false" ht="15" hidden="false" customHeight="false" outlineLevel="0" collapsed="false">
      <c r="A6" s="0" t="s">
        <v>58</v>
      </c>
      <c r="B6" s="0" t="s">
        <v>59</v>
      </c>
      <c r="C6" s="0" t="s">
        <v>26</v>
      </c>
      <c r="D6" s="9" t="n">
        <v>421</v>
      </c>
      <c r="E6" s="10" t="n">
        <v>0.653</v>
      </c>
    </row>
    <row r="7" customFormat="false" ht="15" hidden="false" customHeight="false" outlineLevel="0" collapsed="false">
      <c r="A7" s="0" t="s">
        <v>60</v>
      </c>
      <c r="B7" s="0" t="s">
        <v>59</v>
      </c>
      <c r="C7" s="0" t="s">
        <v>26</v>
      </c>
      <c r="D7" s="9" t="n">
        <v>421</v>
      </c>
      <c r="E7" s="10" t="n">
        <v>0.653</v>
      </c>
    </row>
    <row r="8" customFormat="false" ht="15" hidden="false" customHeight="false" outlineLevel="0" collapsed="false">
      <c r="A8" s="0" t="s">
        <v>61</v>
      </c>
      <c r="B8" s="0" t="s">
        <v>52</v>
      </c>
      <c r="C8" s="0" t="s">
        <v>26</v>
      </c>
      <c r="D8" s="9" t="n">
        <v>413</v>
      </c>
      <c r="E8" s="10" t="n">
        <v>0.654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26</v>
      </c>
      <c r="D9" s="9" t="n">
        <v>406</v>
      </c>
      <c r="E9" s="10" t="n">
        <v>0.655</v>
      </c>
    </row>
    <row r="10" customFormat="false" ht="15" hidden="false" customHeight="false" outlineLevel="0" collapsed="false">
      <c r="A10" s="0" t="s">
        <v>64</v>
      </c>
      <c r="B10" s="0" t="s">
        <v>57</v>
      </c>
      <c r="C10" s="0" t="s">
        <v>26</v>
      </c>
      <c r="D10" s="9" t="n">
        <v>414</v>
      </c>
      <c r="E10" s="10" t="n">
        <v>0.662</v>
      </c>
    </row>
    <row r="11" customFormat="false" ht="15" hidden="false" customHeight="false" outlineLevel="0" collapsed="false">
      <c r="A11" s="0" t="s">
        <v>65</v>
      </c>
      <c r="B11" s="0" t="s">
        <v>66</v>
      </c>
      <c r="C11" s="0" t="s">
        <v>27</v>
      </c>
      <c r="D11" s="9" t="n">
        <v>700</v>
      </c>
      <c r="E11" s="10" t="n">
        <v>0.742</v>
      </c>
    </row>
    <row r="14" customFormat="false" ht="15" hidden="false" customHeight="false" outlineLevel="0" collapsed="false">
      <c r="A14" s="2" t="s">
        <v>67</v>
      </c>
    </row>
    <row r="15" customFormat="false" ht="15" hidden="false" customHeight="false" outlineLevel="0" collapsed="false">
      <c r="A15" s="11" t="s">
        <v>48</v>
      </c>
      <c r="B15" s="11" t="s">
        <v>22</v>
      </c>
      <c r="C15" s="11" t="s">
        <v>24</v>
      </c>
      <c r="D15" s="11" t="s">
        <v>68</v>
      </c>
      <c r="E15" s="11" t="s">
        <v>69</v>
      </c>
    </row>
    <row r="16" customFormat="false" ht="15" hidden="false" customHeight="false" outlineLevel="0" collapsed="false">
      <c r="A16" s="0" t="s">
        <v>70</v>
      </c>
      <c r="B16" s="0" t="s">
        <v>31</v>
      </c>
      <c r="C16" s="10" t="n">
        <v>0.8998</v>
      </c>
      <c r="D16" s="10" t="n">
        <v>0.9079</v>
      </c>
      <c r="E16" s="12" t="n">
        <v>-2.14</v>
      </c>
    </row>
    <row r="17" customFormat="false" ht="15" hidden="false" customHeight="false" outlineLevel="0" collapsed="false">
      <c r="A17" s="0" t="s">
        <v>71</v>
      </c>
      <c r="B17" s="0" t="s">
        <v>28</v>
      </c>
      <c r="C17" s="10" t="n">
        <v>0.7766</v>
      </c>
      <c r="D17" s="10" t="n">
        <v>0.7897</v>
      </c>
      <c r="E17" s="12" t="n">
        <v>-2.12</v>
      </c>
    </row>
    <row r="18" customFormat="false" ht="15" hidden="false" customHeight="false" outlineLevel="0" collapsed="false">
      <c r="A18" s="0" t="s">
        <v>51</v>
      </c>
      <c r="B18" s="0" t="s">
        <v>26</v>
      </c>
      <c r="C18" s="10" t="n">
        <v>0.6317</v>
      </c>
      <c r="D18" s="10" t="n">
        <v>0.6486</v>
      </c>
      <c r="E18" s="12" t="n">
        <v>-1.87</v>
      </c>
    </row>
    <row r="19" customFormat="false" ht="15" hidden="false" customHeight="false" outlineLevel="0" collapsed="false">
      <c r="A19" s="0" t="s">
        <v>72</v>
      </c>
      <c r="B19" s="0" t="s">
        <v>32</v>
      </c>
      <c r="C19" s="10" t="n">
        <v>0.9217</v>
      </c>
      <c r="D19" s="10" t="n">
        <v>0.9256</v>
      </c>
      <c r="E19" s="12" t="n">
        <v>-1.66</v>
      </c>
    </row>
    <row r="20" customFormat="false" ht="15" hidden="false" customHeight="false" outlineLevel="0" collapsed="false">
      <c r="A20" s="0" t="s">
        <v>65</v>
      </c>
      <c r="B20" s="0" t="s">
        <v>27</v>
      </c>
      <c r="C20" s="10" t="n">
        <v>0.742</v>
      </c>
      <c r="D20" s="10" t="n">
        <v>0.7543</v>
      </c>
      <c r="E20" s="12" t="n">
        <v>-1.53</v>
      </c>
    </row>
    <row r="21" customFormat="false" ht="15" hidden="false" customHeight="false" outlineLevel="0" collapsed="false">
      <c r="A21" s="0" t="s">
        <v>73</v>
      </c>
      <c r="B21" s="0" t="s">
        <v>31</v>
      </c>
      <c r="C21" s="10" t="n">
        <v>0.9024</v>
      </c>
      <c r="D21" s="10" t="n">
        <v>0.9079</v>
      </c>
      <c r="E21" s="12" t="n">
        <v>-1.45</v>
      </c>
    </row>
    <row r="22" customFormat="false" ht="15" hidden="false" customHeight="false" outlineLevel="0" collapsed="false">
      <c r="A22" s="0" t="s">
        <v>74</v>
      </c>
      <c r="B22" s="0" t="s">
        <v>30</v>
      </c>
      <c r="C22" s="10" t="n">
        <v>0.8816</v>
      </c>
      <c r="D22" s="10" t="n">
        <v>0.8859</v>
      </c>
      <c r="E22" s="12" t="n">
        <v>-1.36</v>
      </c>
    </row>
    <row r="23" customFormat="false" ht="15" hidden="false" customHeight="false" outlineLevel="0" collapsed="false">
      <c r="A23" s="0" t="s">
        <v>75</v>
      </c>
      <c r="B23" s="0" t="s">
        <v>32</v>
      </c>
      <c r="C23" s="10" t="n">
        <v>0.9226</v>
      </c>
      <c r="D23" s="10" t="n">
        <v>0.9256</v>
      </c>
      <c r="E23" s="12" t="n">
        <v>-1.3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1" t="s">
        <v>76</v>
      </c>
      <c r="B1" s="11" t="s">
        <v>77</v>
      </c>
    </row>
    <row r="2" customFormat="false" ht="15" hidden="false" customHeight="false" outlineLevel="0" collapsed="false">
      <c r="A2" s="0" t="s">
        <v>78</v>
      </c>
      <c r="B2" s="9" t="n">
        <v>3938</v>
      </c>
    </row>
    <row r="3" customFormat="false" ht="15" hidden="false" customHeight="false" outlineLevel="0" collapsed="false">
      <c r="A3" s="0" t="s">
        <v>79</v>
      </c>
      <c r="B3" s="9" t="n">
        <v>632</v>
      </c>
    </row>
    <row r="4" customFormat="false" ht="15" hidden="false" customHeight="false" outlineLevel="0" collapsed="false">
      <c r="A4" s="0" t="s">
        <v>80</v>
      </c>
      <c r="B4" s="9" t="n">
        <v>508</v>
      </c>
    </row>
    <row r="5" customFormat="false" ht="15" hidden="false" customHeight="false" outlineLevel="0" collapsed="false">
      <c r="A5" s="0" t="s">
        <v>81</v>
      </c>
      <c r="B5" s="9" t="n">
        <v>425</v>
      </c>
    </row>
    <row r="6" customFormat="false" ht="15" hidden="false" customHeight="false" outlineLevel="0" collapsed="false">
      <c r="A6" s="0" t="s">
        <v>82</v>
      </c>
      <c r="B6" s="9" t="n">
        <v>425</v>
      </c>
    </row>
    <row r="7" customFormat="false" ht="15" hidden="false" customHeight="false" outlineLevel="0" collapsed="false">
      <c r="A7" s="0" t="s">
        <v>83</v>
      </c>
      <c r="B7" s="9" t="n">
        <v>170</v>
      </c>
    </row>
    <row r="10" customFormat="false" ht="15" hidden="false" customHeight="false" outlineLevel="0" collapsed="false">
      <c r="A10" s="2" t="s">
        <v>84</v>
      </c>
    </row>
    <row r="11" customFormat="false" ht="15" hidden="false" customHeight="false" outlineLevel="0" collapsed="false">
      <c r="A11" s="11" t="s">
        <v>85</v>
      </c>
      <c r="B11" s="11" t="s">
        <v>86</v>
      </c>
      <c r="C11" s="11" t="s">
        <v>87</v>
      </c>
    </row>
    <row r="12" customFormat="false" ht="15" hidden="false" customHeight="false" outlineLevel="0" collapsed="false">
      <c r="A12" s="0" t="s">
        <v>88</v>
      </c>
      <c r="B12" s="9" t="n">
        <v>23567</v>
      </c>
      <c r="C12" s="10" t="n">
        <v>0.442</v>
      </c>
    </row>
    <row r="13" customFormat="false" ht="15" hidden="false" customHeight="false" outlineLevel="0" collapsed="false">
      <c r="A13" s="0" t="s">
        <v>89</v>
      </c>
      <c r="B13" s="9" t="n">
        <v>12898</v>
      </c>
      <c r="C13" s="10" t="n">
        <v>0.242</v>
      </c>
    </row>
    <row r="14" customFormat="false" ht="15" hidden="false" customHeight="false" outlineLevel="0" collapsed="false">
      <c r="A14" s="0" t="s">
        <v>90</v>
      </c>
      <c r="B14" s="9" t="n">
        <v>6496</v>
      </c>
      <c r="C14" s="10" t="n">
        <v>0.122</v>
      </c>
    </row>
    <row r="15" customFormat="false" ht="15" hidden="false" customHeight="false" outlineLevel="0" collapsed="false">
      <c r="A15" s="0" t="s">
        <v>91</v>
      </c>
      <c r="B15" s="9" t="n">
        <v>6435</v>
      </c>
      <c r="C15" s="10" t="n">
        <v>0.121</v>
      </c>
    </row>
    <row r="16" customFormat="false" ht="15" hidden="false" customHeight="false" outlineLevel="0" collapsed="false">
      <c r="A16" s="0" t="s">
        <v>92</v>
      </c>
      <c r="B16" s="9" t="n">
        <v>3938</v>
      </c>
      <c r="C16" s="10" t="n">
        <v>0.074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1" t="s">
        <v>93</v>
      </c>
      <c r="B1" s="11" t="s">
        <v>77</v>
      </c>
    </row>
    <row r="2" customFormat="false" ht="15" hidden="false" customHeight="false" outlineLevel="0" collapsed="false">
      <c r="A2" s="0" t="s">
        <v>94</v>
      </c>
      <c r="B2" s="9" t="n">
        <v>57</v>
      </c>
    </row>
    <row r="3" customFormat="false" ht="15" hidden="false" customHeight="false" outlineLevel="0" collapsed="false">
      <c r="A3" s="0" t="s">
        <v>95</v>
      </c>
      <c r="B3" s="9" t="n">
        <v>55</v>
      </c>
    </row>
    <row r="4" customFormat="false" ht="15" hidden="false" customHeight="false" outlineLevel="0" collapsed="false">
      <c r="A4" s="0" t="s">
        <v>96</v>
      </c>
      <c r="B4" s="9" t="n">
        <v>54</v>
      </c>
    </row>
    <row r="5" customFormat="false" ht="15" hidden="false" customHeight="false" outlineLevel="0" collapsed="false">
      <c r="A5" s="0" t="s">
        <v>97</v>
      </c>
      <c r="B5" s="9" t="n">
        <v>29</v>
      </c>
    </row>
    <row r="6" customFormat="false" ht="15" hidden="false" customHeight="false" outlineLevel="0" collapsed="false">
      <c r="A6" s="0" t="s">
        <v>98</v>
      </c>
      <c r="B6" s="9" t="n">
        <v>17</v>
      </c>
    </row>
    <row r="7" customFormat="false" ht="15" hidden="false" customHeight="false" outlineLevel="0" collapsed="false">
      <c r="A7" s="0" t="s">
        <v>99</v>
      </c>
      <c r="B7" s="9" t="n">
        <v>14</v>
      </c>
    </row>
    <row r="10" customFormat="false" ht="15" hidden="false" customHeight="false" outlineLevel="0" collapsed="false">
      <c r="A10" s="11" t="s">
        <v>100</v>
      </c>
      <c r="B10" s="11" t="s">
        <v>101</v>
      </c>
      <c r="C10" s="11" t="s">
        <v>77</v>
      </c>
    </row>
    <row r="11" customFormat="false" ht="15" hidden="false" customHeight="false" outlineLevel="0" collapsed="false">
      <c r="A11" s="0" t="s">
        <v>102</v>
      </c>
      <c r="B11" s="0" t="s">
        <v>36</v>
      </c>
      <c r="C11" s="9" t="n">
        <v>169</v>
      </c>
    </row>
    <row r="12" customFormat="false" ht="15" hidden="false" customHeight="false" outlineLevel="0" collapsed="false">
      <c r="A12" s="0" t="s">
        <v>103</v>
      </c>
      <c r="B12" s="0" t="s">
        <v>36</v>
      </c>
      <c r="C12" s="9" t="n">
        <v>155</v>
      </c>
    </row>
    <row r="13" customFormat="false" ht="15" hidden="false" customHeight="false" outlineLevel="0" collapsed="false">
      <c r="A13" s="0" t="s">
        <v>104</v>
      </c>
      <c r="B13" s="0" t="s">
        <v>34</v>
      </c>
      <c r="C13" s="9" t="n">
        <v>238</v>
      </c>
    </row>
    <row r="14" customFormat="false" ht="15" hidden="false" customHeight="false" outlineLevel="0" collapsed="false">
      <c r="A14" s="0" t="s">
        <v>105</v>
      </c>
      <c r="B14" s="0" t="s">
        <v>34</v>
      </c>
      <c r="C14" s="9" t="n">
        <v>222</v>
      </c>
    </row>
    <row r="15" customFormat="false" ht="15" hidden="false" customHeight="false" outlineLevel="0" collapsed="false">
      <c r="A15" s="0" t="s">
        <v>106</v>
      </c>
      <c r="B15" s="0" t="s">
        <v>34</v>
      </c>
      <c r="C15" s="9" t="n">
        <v>202</v>
      </c>
    </row>
    <row r="16" customFormat="false" ht="15" hidden="false" customHeight="false" outlineLevel="0" collapsed="false">
      <c r="A16" s="0" t="s">
        <v>107</v>
      </c>
      <c r="B16" s="0" t="s">
        <v>38</v>
      </c>
      <c r="C16" s="9" t="n">
        <v>113</v>
      </c>
    </row>
    <row r="17" customFormat="false" ht="15" hidden="false" customHeight="false" outlineLevel="0" collapsed="false">
      <c r="A17" s="0" t="s">
        <v>108</v>
      </c>
      <c r="B17" s="0" t="s">
        <v>38</v>
      </c>
      <c r="C17" s="9" t="n">
        <v>111</v>
      </c>
    </row>
    <row r="18" customFormat="false" ht="15" hidden="false" customHeight="false" outlineLevel="0" collapsed="false">
      <c r="A18" s="0" t="s">
        <v>109</v>
      </c>
      <c r="B18" s="0" t="s">
        <v>38</v>
      </c>
      <c r="C18" s="9" t="n">
        <v>109</v>
      </c>
    </row>
    <row r="19" customFormat="false" ht="15" hidden="false" customHeight="false" outlineLevel="0" collapsed="false">
      <c r="A19" s="0" t="s">
        <v>110</v>
      </c>
      <c r="B19" s="0" t="s">
        <v>35</v>
      </c>
      <c r="C19" s="9" t="n">
        <v>546</v>
      </c>
    </row>
    <row r="20" customFormat="false" ht="15" hidden="false" customHeight="false" outlineLevel="0" collapsed="false">
      <c r="A20" s="0" t="s">
        <v>111</v>
      </c>
      <c r="B20" s="0" t="s">
        <v>35</v>
      </c>
      <c r="C20" s="9" t="n">
        <v>536</v>
      </c>
    </row>
    <row r="21" customFormat="false" ht="15" hidden="false" customHeight="false" outlineLevel="0" collapsed="false">
      <c r="A21" s="0" t="s">
        <v>112</v>
      </c>
      <c r="B21" s="0" t="s">
        <v>37</v>
      </c>
      <c r="C21" s="9" t="n">
        <v>412</v>
      </c>
    </row>
    <row r="22" customFormat="false" ht="15" hidden="false" customHeight="false" outlineLevel="0" collapsed="false">
      <c r="A22" s="0" t="s">
        <v>113</v>
      </c>
      <c r="B22" s="0" t="s">
        <v>37</v>
      </c>
      <c r="C22" s="9" t="n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2026-09-01T07:30:39Z</dcterms:created>
  <dc:creator>openpyxl</dc:creator>
  <dc:description/>
  <dc:language>en-US</dc:language>
  <cp:lastModifiedBy/>
  <dcterms:modified xsi:type="dcterms:W3CDTF">2026-09-01T07:30:39Z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